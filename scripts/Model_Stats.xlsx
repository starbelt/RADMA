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mg_Class" sheetId="1" state="visible" r:id="rId1"/>
    <sheet name="Img_Class_outs" sheetId="2" state="visible" r:id="rId2"/>
    <sheet name="Obj_Det" sheetId="3" state="visible" r:id="rId3"/>
    <sheet name="Segmentation" sheetId="4" state="visible" r:id="rId4"/>
    <sheet name="Segmentation (2)" sheetId="5" state="visible" r:id="rId5"/>
    <sheet name="Audio_Classification" sheetId="6" state="visible" r:id="rId6"/>
    <sheet name="Sheet1" sheetId="7" state="visible" r:id="rId7"/>
    <sheet name="Obj_Det_outs" sheetId="8" state="visible" r:id="rId8"/>
  </sheets>
  <definedNames>
    <definedName name="_xlnm._FilterDatabase" localSheetId="0" hidden="1">'Img_Class'!$K$2:$K$14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Aptos Narrow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Inherit"/>
      <family val="0"/>
      <b val="1"/>
      <color theme="1"/>
      <sz val="12"/>
    </font>
    <font>
      <name val="inherit"/>
      <family val="0"/>
      <b val="1"/>
      <color theme="1"/>
      <sz val="12"/>
    </font>
    <font>
      <name val="Brown Light"/>
      <family val="0"/>
      <color theme="1"/>
      <sz val="12"/>
    </font>
    <font>
      <name val="Aptos Narrow"/>
      <family val="2"/>
      <color theme="10"/>
      <sz val="11"/>
      <u val="single"/>
    </font>
    <font>
      <name val="Inherit"/>
      <family val="0"/>
      <color theme="1"/>
      <sz val="12"/>
    </font>
    <font>
      <name val="Cambria"/>
      <family val="0"/>
      <b val="1"/>
      <color theme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EEEEEE"/>
        <bgColor rgb="FFFFFFFF"/>
      </patternFill>
    </fill>
    <fill>
      <patternFill patternType="solid">
        <fgColor rgb="FFFFFFFF"/>
        <bgColor rgb="FFEEEEEE"/>
      </patternFill>
    </fill>
  </fills>
  <borders count="5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 wrapText="1"/>
    </xf>
    <xf numFmtId="0" fontId="5" fillId="2" borderId="1" applyAlignment="1" pivotButton="0" quotePrefix="0" xfId="0">
      <alignment horizontal="general" vertical="bottom" wrapText="1"/>
    </xf>
    <xf numFmtId="0" fontId="6" fillId="3" borderId="2" applyAlignment="1" pivotButton="0" quotePrefix="0" xfId="0">
      <alignment horizontal="general" vertical="bottom" wrapText="1"/>
    </xf>
    <xf numFmtId="0" fontId="7" fillId="3" borderId="2" applyAlignment="1" pivotButton="0" quotePrefix="0" xfId="0">
      <alignment horizontal="general" vertical="bottom" wrapText="1"/>
    </xf>
    <xf numFmtId="0" fontId="8" fillId="3" borderId="2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3" applyAlignment="1" pivotButton="0" quotePrefix="0" xfId="0">
      <alignment horizontal="center" vertical="top"/>
    </xf>
    <xf numFmtId="0" fontId="6" fillId="3" borderId="1" applyAlignment="1" pivotButton="0" quotePrefix="0" xfId="0">
      <alignment horizontal="general" vertical="bottom" wrapText="1"/>
    </xf>
    <xf numFmtId="0" fontId="8" fillId="3" borderId="1" applyAlignment="1" pivotButton="0" quotePrefix="0" xfId="0">
      <alignment horizontal="general" vertical="bottom" wrapText="1"/>
    </xf>
    <xf numFmtId="0" fontId="7" fillId="3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bottom" wrapText="1"/>
    </xf>
    <xf numFmtId="0" fontId="5" fillId="2" borderId="1" applyAlignment="1" pivotButton="0" quotePrefix="0" xfId="0">
      <alignment horizontal="general" vertical="bottom" wrapText="1"/>
    </xf>
    <xf numFmtId="0" fontId="6" fillId="3" borderId="2" applyAlignment="1" pivotButton="0" quotePrefix="0" xfId="0">
      <alignment horizontal="general" vertical="bottom" wrapText="1"/>
    </xf>
    <xf numFmtId="0" fontId="7" fillId="3" borderId="2" applyAlignment="1" pivotButton="0" quotePrefix="0" xfId="0">
      <alignment horizontal="general" vertical="bottom" wrapText="1"/>
    </xf>
    <xf numFmtId="0" fontId="8" fillId="3" borderId="2" applyAlignment="1" pivotButton="0" quotePrefix="0" xfId="0">
      <alignment horizontal="general" vertical="bottom" wrapText="1"/>
    </xf>
    <xf numFmtId="0" fontId="10" fillId="0" borderId="4" applyAlignment="1" pivotButton="0" quotePrefix="0" xfId="0">
      <alignment horizontal="center" vertical="top"/>
    </xf>
    <xf numFmtId="0" fontId="6" fillId="3" borderId="1" applyAlignment="1" pivotButton="0" quotePrefix="0" xfId="0">
      <alignment horizontal="general" vertical="bottom" wrapText="1"/>
    </xf>
    <xf numFmtId="0" fontId="8" fillId="3" borderId="1" applyAlignment="1" pivotButton="0" quotePrefix="0" xfId="0">
      <alignment horizontal="general" vertical="bottom" wrapText="1"/>
    </xf>
    <xf numFmtId="0" fontId="7" fillId="3" borderId="2" applyAlignment="1" pivotButton="0" quotePrefix="0" xfId="0">
      <alignment horizontal="general" vertical="bottom"/>
    </xf>
    <xf numFmtId="0" fontId="9" fillId="0" borderId="3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00A933"/>
          <bgColor rgb="FF000000"/>
        </patternFill>
      </fill>
    </dxf>
    <dxf>
      <fill>
        <patternFill patternType="solid">
          <fgColor rgb="FF48C125"/>
          <bgColor rgb="FF000000"/>
        </patternFill>
      </fill>
    </dxf>
    <dxf>
      <fill>
        <patternFill patternType="solid">
          <fgColor rgb="FF72CF1D"/>
          <bgColor rgb="FF000000"/>
        </patternFill>
      </fill>
    </dxf>
    <dxf>
      <fill>
        <patternFill patternType="solid">
          <fgColor rgb="FF8ED917"/>
          <bgColor rgb="FF000000"/>
        </patternFill>
      </fill>
    </dxf>
    <dxf>
      <fill>
        <patternFill patternType="solid">
          <fgColor rgb="FFC8EC0B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B900"/>
          <bgColor rgb="FF000000"/>
        </patternFill>
      </fill>
    </dxf>
    <dxf>
      <fill>
        <patternFill patternType="solid">
          <fgColor rgb="FFFFBB00"/>
          <bgColor rgb="FF000000"/>
        </patternFill>
      </fill>
    </dxf>
    <dxf>
      <fill>
        <patternFill patternType="solid">
          <fgColor rgb="FFFFD500"/>
          <bgColor rgb="FF000000"/>
        </patternFill>
      </fill>
    </dxf>
    <dxf>
      <fill>
        <patternFill patternType="solid">
          <fgColor rgb="FFFFE900"/>
          <bgColor rgb="FF000000"/>
        </patternFill>
      </fill>
    </dxf>
    <dxf>
      <fill>
        <patternFill patternType="solid">
          <fgColor rgb="FFFFFB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EEEE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A4A4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www.image-net.org/challenges/LSVRC/2012/" TargetMode="External" Id="rId1" /><Relationship Type="http://schemas.openxmlformats.org/officeDocument/2006/relationships/hyperlink" Target="http://www.image-net.org/challenges/LSVRC/2012/" TargetMode="External" Id="rId2" /><Relationship Type="http://schemas.openxmlformats.org/officeDocument/2006/relationships/hyperlink" Target="http://www.image-net.org/challenges/LSVRC/2012/" TargetMode="External" Id="rId3" /><Relationship Type="http://schemas.openxmlformats.org/officeDocument/2006/relationships/hyperlink" Target="http://www.image-net.org/challenges/LSVRC/2012/" TargetMode="External" Id="rId4" /><Relationship Type="http://schemas.openxmlformats.org/officeDocument/2006/relationships/hyperlink" Target="http://www.image-net.org/challenges/LSVRC/2012/" TargetMode="External" Id="rId5" /><Relationship Type="http://schemas.openxmlformats.org/officeDocument/2006/relationships/hyperlink" Target="http://www.image-net.org/challenges/LSVRC/2012/" TargetMode="External" Id="rId6" /><Relationship Type="http://schemas.openxmlformats.org/officeDocument/2006/relationships/hyperlink" Target="http://www.image-net.org/challenges/LSVRC/2012/" TargetMode="External" Id="rId7" /><Relationship Type="http://schemas.openxmlformats.org/officeDocument/2006/relationships/hyperlink" Target="http://www.image-net.org/challenges/LSVRC/2012/" TargetMode="External" Id="rId8" /><Relationship Type="http://schemas.openxmlformats.org/officeDocument/2006/relationships/hyperlink" Target="http://www.image-net.org/challenges/LSVRC/2012/" TargetMode="External" Id="rId9" /><Relationship Type="http://schemas.openxmlformats.org/officeDocument/2006/relationships/hyperlink" Target="http://www.image-net.org/challenges/LSVRC/2012/" TargetMode="External" Id="rId10" /><Relationship Type="http://schemas.openxmlformats.org/officeDocument/2006/relationships/hyperlink" Target="http://www.image-net.org/challenges/LSVRC/2012/" TargetMode="External" Id="rId11" /><Relationship Type="http://schemas.openxmlformats.org/officeDocument/2006/relationships/hyperlink" Target="http://www.image-net.org/challenges/LSVRC/2012/" TargetMode="External" Id="rId12" /><Relationship Type="http://schemas.openxmlformats.org/officeDocument/2006/relationships/hyperlink" Target="http://www.image-net.org/challenges/LSVRC/2012/" TargetMode="External" Id="rId1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ensorflow.org/datasets/catalog/coco" TargetMode="External" Id="rId1" /><Relationship Type="http://schemas.openxmlformats.org/officeDocument/2006/relationships/hyperlink" Target="https://www.tensorflow.org/datasets/catalog/coco" TargetMode="External" Id="rId2" /><Relationship Type="http://schemas.openxmlformats.org/officeDocument/2006/relationships/hyperlink" Target="https://www.tensorflow.org/datasets/catalog/coco" TargetMode="External" Id="rId3" /><Relationship Type="http://schemas.openxmlformats.org/officeDocument/2006/relationships/hyperlink" Target="https://www.tensorflow.org/datasets/catalog/coco" TargetMode="External" Id="rId4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robots.ox.ac.uk/~vgg/data/pets/" TargetMode="External" Id="rId1" /><Relationship Type="http://schemas.openxmlformats.org/officeDocument/2006/relationships/hyperlink" Target="https://www.robots.ox.ac.uk/~vgg/data/pets/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robots.ox.ac.uk/~vgg/data/pets/" TargetMode="External" Id="rId1" /><Relationship Type="http://schemas.openxmlformats.org/officeDocument/2006/relationships/hyperlink" Target="https://www.robots.ox.ac.uk/~vgg/data/pets/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https://raw.githubusercontent.com/google-coral/coralmicro/main/models/yamnet_spectra_in_edgetpu.tflite" TargetMode="External" Id="rId1" /><Relationship Type="http://schemas.openxmlformats.org/officeDocument/2006/relationships/hyperlink" Target="https://raw.githubusercontent.com/google-coral/project-keyword-spotter/master/models/voice_commands_v0.7_edgetpu.tflite" TargetMode="External" Id="rId2" /><Relationship Type="http://schemas.openxmlformats.org/officeDocument/2006/relationships/hyperlink" Target="https://raw.githubusercontent.com/google-coral/project-keyword-spotter/master/models/voice_commands_v0.8_edgetpu.tflite" TargetMode="External" Id="rId3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"/>
  <sheetViews>
    <sheetView showFormulas="0" showGridLines="1" showRowColHeaders="1" showZeros="1" rightToLeft="0" tabSelected="1" showOutlineSymbols="1" defaultGridColor="1" view="normal" topLeftCell="A34" colorId="64" zoomScale="101" zoomScaleNormal="101" zoomScalePageLayoutView="100" workbookViewId="0">
      <selection pane="topLeft" activeCell="C21" activeCellId="0" sqref="C21"/>
    </sheetView>
  </sheetViews>
  <sheetFormatPr baseColWidth="8" defaultColWidth="8.59765625" defaultRowHeight="15" zeroHeight="0" outlineLevelRow="0"/>
  <cols>
    <col width="29.86" customWidth="1" style="13" min="1" max="1"/>
    <col width="24.39" customWidth="1" style="13" min="2" max="2"/>
    <col width="17.57" customWidth="1" style="13" min="3" max="3"/>
    <col width="12.14" customWidth="1" style="13" min="4" max="4"/>
    <col width="11.86" customWidth="1" style="13" min="5" max="5"/>
    <col width="15.72" customWidth="1" style="13" min="6" max="6"/>
    <col width="15" customWidth="1" style="13" min="7" max="7"/>
    <col width="21.01" customWidth="1" style="13" min="8" max="8"/>
    <col width="21.59" customWidth="1" style="13" min="9" max="9"/>
    <col width="25.86" customWidth="1" style="13" min="10" max="10"/>
    <col width="31.22" customWidth="1" style="13" min="11" max="11"/>
  </cols>
  <sheetData>
    <row r="1" ht="36" customHeight="1" s="14">
      <c r="A1" s="15" t="inlineStr">
        <is>
          <t>Model name</t>
        </is>
      </c>
      <c r="B1" s="15" t="inlineStr">
        <is>
          <t>Detections/Dataset</t>
        </is>
      </c>
      <c r="C1" s="15" t="inlineStr">
        <is>
          <t>Input size</t>
        </is>
      </c>
      <c r="D1" s="15" t="inlineStr">
        <is>
          <t>Depth mul.</t>
        </is>
      </c>
      <c r="E1" s="15" t="inlineStr">
        <is>
          <t>TF ver.</t>
        </is>
      </c>
      <c r="F1" s="16" t="inlineStr">
        <is>
          <t>Latency (ms)</t>
        </is>
      </c>
      <c r="G1" s="15" t="inlineStr">
        <is>
          <t>Top-1 Accuracy</t>
        </is>
      </c>
      <c r="H1" s="15" t="inlineStr">
        <is>
          <t>Top-5 Accuracy</t>
        </is>
      </c>
      <c r="I1" s="15" t="inlineStr">
        <is>
          <t>Model size</t>
        </is>
      </c>
      <c r="J1" s="13" t="inlineStr">
        <is>
          <t>Measured-Quoted (ms)</t>
        </is>
      </c>
      <c r="K1" s="13" t="inlineStr">
        <is>
          <t>% Difference</t>
        </is>
      </c>
    </row>
    <row r="2" ht="29.25" customHeight="1" s="14">
      <c r="A2" s="17" t="inlineStr">
        <is>
          <t>EfficientNet-EdgeTpu (L)</t>
        </is>
      </c>
      <c r="B2" s="18" t="inlineStr">
        <is>
          <t>1,000 objects
ILSVRC2012</t>
        </is>
      </c>
      <c r="C2" s="19" t="inlineStr">
        <is>
          <t>300x300x3</t>
        </is>
      </c>
      <c r="D2" s="19" t="inlineStr">
        <is>
          <t>N/A</t>
        </is>
      </c>
      <c r="E2" s="19" t="n">
        <v>1</v>
      </c>
      <c r="F2" s="19" t="n">
        <v>21.3</v>
      </c>
      <c r="G2" s="19" t="n">
        <v>81.2</v>
      </c>
      <c r="H2" s="19" t="n">
        <v>95.09999999999999</v>
      </c>
      <c r="I2" s="19" t="n">
        <v>12.8</v>
      </c>
      <c r="J2" s="13">
        <f>Img_Class_outs!E13-F2</f>
        <v/>
      </c>
      <c r="K2" s="13">
        <f>J2/F2 * 100</f>
        <v/>
      </c>
    </row>
    <row r="3" ht="29.25" customHeight="1" s="14">
      <c r="A3" s="17" t="inlineStr">
        <is>
          <t>EfficientNet-EdgeTpu (M)</t>
        </is>
      </c>
      <c r="B3" s="18" t="inlineStr">
        <is>
          <t>1,000 objects
ILSVRC2012</t>
        </is>
      </c>
      <c r="C3" s="19" t="inlineStr">
        <is>
          <t>240x240x3</t>
        </is>
      </c>
      <c r="D3" s="19" t="inlineStr">
        <is>
          <t>N/A</t>
        </is>
      </c>
      <c r="E3" s="19" t="n">
        <v>1</v>
      </c>
      <c r="F3" s="19" t="n">
        <v>7.3</v>
      </c>
      <c r="G3" s="19" t="n">
        <v>80.09999999999999</v>
      </c>
      <c r="H3" s="19" t="n">
        <v>94.5</v>
      </c>
      <c r="I3" s="19" t="n">
        <v>8.699999999999999</v>
      </c>
      <c r="J3" s="13">
        <f>Img_Class_outs!E12-F3</f>
        <v/>
      </c>
      <c r="K3" s="13">
        <f>J3/F3 * 100</f>
        <v/>
      </c>
    </row>
    <row r="4" ht="29.25" customHeight="1" s="14">
      <c r="A4" s="17" t="inlineStr">
        <is>
          <t>EfficientNet-EdgeTpu (S)</t>
        </is>
      </c>
      <c r="B4" s="18" t="inlineStr">
        <is>
          <t>1,000 objects
ILSVRC2012</t>
        </is>
      </c>
      <c r="C4" s="19" t="inlineStr">
        <is>
          <t>224x224x3</t>
        </is>
      </c>
      <c r="D4" s="19" t="inlineStr">
        <is>
          <t>N/A</t>
        </is>
      </c>
      <c r="E4" s="19" t="n">
        <v>1</v>
      </c>
      <c r="F4" s="19" t="n">
        <v>5</v>
      </c>
      <c r="G4" s="19" t="n">
        <v>78.90000000000001</v>
      </c>
      <c r="H4" s="19" t="n">
        <v>94.7</v>
      </c>
      <c r="I4" s="19" t="n">
        <v>6.8</v>
      </c>
      <c r="J4" s="13">
        <f>Img_Class_outs!E10-F4</f>
        <v/>
      </c>
      <c r="K4" s="13">
        <f>J4/F4 * 100</f>
        <v/>
      </c>
    </row>
    <row r="5" ht="29.25" customHeight="1" s="14">
      <c r="A5" s="17" t="inlineStr">
        <is>
          <t>Inception V1</t>
        </is>
      </c>
      <c r="B5" s="18" t="inlineStr">
        <is>
          <t>1,000 objects
ILSVRC2012</t>
        </is>
      </c>
      <c r="C5" s="19" t="inlineStr">
        <is>
          <t>224x224x3</t>
        </is>
      </c>
      <c r="D5" s="19" t="inlineStr">
        <is>
          <t>N/A</t>
        </is>
      </c>
      <c r="E5" s="19" t="n">
        <v>1</v>
      </c>
      <c r="F5" s="19" t="n">
        <v>3.4</v>
      </c>
      <c r="G5" s="19" t="n">
        <v>71.90000000000001</v>
      </c>
      <c r="H5" s="19" t="n">
        <v>92</v>
      </c>
      <c r="I5" s="19" t="n">
        <v>7</v>
      </c>
      <c r="J5" s="13">
        <f>Img_Class_outs!E11 - F5</f>
        <v/>
      </c>
      <c r="K5" s="13">
        <f>J5/F5 * 100</f>
        <v/>
      </c>
    </row>
    <row r="6" ht="29.25" customHeight="1" s="14">
      <c r="A6" s="17" t="inlineStr">
        <is>
          <t>Inception V3</t>
        </is>
      </c>
      <c r="B6" s="18" t="inlineStr">
        <is>
          <t>1,000 objects
ILSVRC2012</t>
        </is>
      </c>
      <c r="C6" s="19" t="inlineStr">
        <is>
          <t>224x224x3</t>
        </is>
      </c>
      <c r="D6" s="19" t="inlineStr">
        <is>
          <t>N/A</t>
        </is>
      </c>
      <c r="E6" s="19" t="n">
        <v>1</v>
      </c>
      <c r="F6" s="19" t="n">
        <v>13.4</v>
      </c>
      <c r="G6" s="19" t="n">
        <v>75.40000000000001</v>
      </c>
      <c r="H6" s="19" t="n">
        <v>93.2</v>
      </c>
      <c r="I6" s="19" t="n">
        <v>12</v>
      </c>
      <c r="J6" s="13">
        <f>Img_Class_outs!E14 - F6</f>
        <v/>
      </c>
      <c r="K6" s="13">
        <f>J6/F6 * 100</f>
        <v/>
      </c>
    </row>
    <row r="7" ht="29.25" customHeight="1" s="14">
      <c r="A7" s="17" t="inlineStr">
        <is>
          <t>MobileNet V1 (0.25)</t>
        </is>
      </c>
      <c r="B7" s="18" t="inlineStr">
        <is>
          <t>1,000 objects
ILSVRC2012</t>
        </is>
      </c>
      <c r="C7" s="19" t="inlineStr">
        <is>
          <t>128x128x3</t>
        </is>
      </c>
      <c r="D7" s="19" t="n">
        <v>0.25</v>
      </c>
      <c r="E7" s="19" t="n">
        <v>1</v>
      </c>
      <c r="F7" s="19" t="n">
        <v>0.9</v>
      </c>
      <c r="G7" s="19" t="n">
        <v>40.8</v>
      </c>
      <c r="H7" s="19" t="n">
        <v>67.2</v>
      </c>
      <c r="I7" s="19" t="n">
        <v>0.7</v>
      </c>
      <c r="J7" s="13">
        <f>Img_Class_outs!E2-F7</f>
        <v/>
      </c>
      <c r="K7" s="13">
        <f>J7/F7 * 100</f>
        <v/>
      </c>
    </row>
    <row r="8" ht="29.25" customHeight="1" s="14">
      <c r="A8" s="17" t="inlineStr">
        <is>
          <t>MobileNet V1 (0.50)</t>
        </is>
      </c>
      <c r="B8" s="18" t="inlineStr">
        <is>
          <t>1,000 objects
ILSVRC2012</t>
        </is>
      </c>
      <c r="C8" s="19" t="inlineStr">
        <is>
          <t>160x160x3</t>
        </is>
      </c>
      <c r="D8" s="19" t="n">
        <v>0.5</v>
      </c>
      <c r="E8" s="19" t="n">
        <v>1</v>
      </c>
      <c r="F8" s="19" t="n">
        <v>1.4</v>
      </c>
      <c r="G8" s="19" t="n">
        <v>63.7</v>
      </c>
      <c r="H8" s="19" t="n">
        <v>83.40000000000001</v>
      </c>
      <c r="I8" s="19" t="n">
        <v>1.6</v>
      </c>
      <c r="J8" s="13">
        <f>Img_Class_outs!E3-F8</f>
        <v/>
      </c>
      <c r="K8" s="13">
        <f>J8/F8 * 100</f>
        <v/>
      </c>
    </row>
    <row r="9" ht="29.25" customHeight="1" s="14">
      <c r="A9" s="17" t="inlineStr">
        <is>
          <t>MobileNet V1 (.75)</t>
        </is>
      </c>
      <c r="B9" s="18" t="inlineStr">
        <is>
          <t>1,000 objects
ILSVRC2012</t>
        </is>
      </c>
      <c r="C9" s="19" t="inlineStr">
        <is>
          <t>192x192x3</t>
        </is>
      </c>
      <c r="D9" s="19" t="n">
        <v>0.75</v>
      </c>
      <c r="E9" s="19" t="n">
        <v>1</v>
      </c>
      <c r="F9" s="19" t="n">
        <v>1.8</v>
      </c>
      <c r="G9" s="19" t="n">
        <v>67.2</v>
      </c>
      <c r="H9" s="19" t="n">
        <v>88.09999999999999</v>
      </c>
      <c r="I9" s="19" t="n">
        <v>2.8</v>
      </c>
      <c r="J9" s="13">
        <f>Img_Class_outs!E4-F9</f>
        <v/>
      </c>
      <c r="K9" s="13">
        <f>J9/F9 * 100</f>
        <v/>
      </c>
    </row>
    <row r="10" ht="29.25" customHeight="1" s="14">
      <c r="A10" s="17" t="inlineStr">
        <is>
          <t>MobileNet V1 (1.0)</t>
        </is>
      </c>
      <c r="B10" s="18" t="inlineStr">
        <is>
          <t>1,000 objects
ILSVRC2012</t>
        </is>
      </c>
      <c r="C10" s="19" t="inlineStr">
        <is>
          <t>224x224x3</t>
        </is>
      </c>
      <c r="D10" s="19" t="n">
        <v>1</v>
      </c>
      <c r="E10" s="19" t="n">
        <v>1</v>
      </c>
      <c r="F10" s="19" t="n">
        <v>2.8</v>
      </c>
      <c r="G10" s="19" t="n">
        <v>69.5</v>
      </c>
      <c r="H10" s="19" t="n">
        <v>90.59999999999999</v>
      </c>
      <c r="I10" s="19" t="n">
        <v>4.4</v>
      </c>
      <c r="J10" s="13">
        <f>Img_Class_outs!E5-F10</f>
        <v/>
      </c>
      <c r="K10" s="13">
        <f>J10/F10 * 100</f>
        <v/>
      </c>
    </row>
    <row r="11" ht="29.25" customHeight="1" s="14">
      <c r="A11" s="17" t="inlineStr">
        <is>
          <t>MobileNet V1 (TF_ver_2.0)</t>
        </is>
      </c>
      <c r="B11" s="18" t="inlineStr">
        <is>
          <t>1,000 objects
ILSVRC2012</t>
        </is>
      </c>
      <c r="C11" s="19" t="inlineStr">
        <is>
          <t>224x224x3</t>
        </is>
      </c>
      <c r="D11" s="19" t="n">
        <v>1</v>
      </c>
      <c r="E11" s="19" t="n">
        <v>2</v>
      </c>
      <c r="F11" s="19" t="n">
        <v>2.8</v>
      </c>
      <c r="G11" s="19" t="n">
        <v>69.5</v>
      </c>
      <c r="H11" s="19" t="n">
        <v>89.8</v>
      </c>
      <c r="I11" s="19" t="n">
        <v>4.5</v>
      </c>
      <c r="J11" s="13">
        <f>Img_Class_outs!E9-F11</f>
        <v/>
      </c>
      <c r="K11" s="13">
        <f>J11/F11 * 100</f>
        <v/>
      </c>
    </row>
    <row r="12" ht="29.25" customHeight="1" s="14">
      <c r="A12" s="17" t="inlineStr">
        <is>
          <t>MobileNet V2</t>
        </is>
      </c>
      <c r="B12" s="18" t="inlineStr">
        <is>
          <t>1,000 objects
ILSVRC2012</t>
        </is>
      </c>
      <c r="C12" s="19" t="inlineStr">
        <is>
          <t>224x224x3</t>
        </is>
      </c>
      <c r="D12" s="19" t="n">
        <v>1</v>
      </c>
      <c r="E12" s="19" t="n">
        <v>1</v>
      </c>
      <c r="F12" s="19" t="n">
        <v>2.9</v>
      </c>
      <c r="G12" s="19" t="n">
        <v>73.2</v>
      </c>
      <c r="H12" s="19" t="n">
        <v>90</v>
      </c>
      <c r="I12" s="19" t="n">
        <v>4</v>
      </c>
      <c r="J12" s="13">
        <f>Img_Class_outs!E7 - F12</f>
        <v/>
      </c>
      <c r="K12" s="13">
        <f>J12/F12 * 100</f>
        <v/>
      </c>
    </row>
    <row r="13" ht="29.25" customHeight="1" s="14">
      <c r="A13" s="17" t="inlineStr">
        <is>
          <t>MobileNet V2 (TF_ver_2.0)</t>
        </is>
      </c>
      <c r="B13" s="18" t="inlineStr">
        <is>
          <t>1,000 objects
ILSVRC2012</t>
        </is>
      </c>
      <c r="C13" s="19" t="inlineStr">
        <is>
          <t>224x224x3</t>
        </is>
      </c>
      <c r="D13" s="19" t="n">
        <v>1</v>
      </c>
      <c r="E13" s="19" t="n">
        <v>2</v>
      </c>
      <c r="F13" s="19" t="n">
        <v>3</v>
      </c>
      <c r="G13" s="19" t="n">
        <v>73.2</v>
      </c>
      <c r="H13" s="19" t="n">
        <v>91.8</v>
      </c>
      <c r="I13" s="19" t="n">
        <v>4.1</v>
      </c>
      <c r="J13" s="13">
        <f>Img_Class_outs!E4-F13</f>
        <v/>
      </c>
      <c r="K13" s="13">
        <f>J13/F13 * 100</f>
        <v/>
      </c>
    </row>
    <row r="14" ht="22.5" customHeight="1" s="14">
      <c r="A14" s="17" t="inlineStr">
        <is>
          <t>MobileNet V3</t>
        </is>
      </c>
      <c r="B14" s="18" t="inlineStr">
        <is>
          <t>1,000 objects
ILSVRC2012</t>
        </is>
      </c>
      <c r="C14" s="19" t="inlineStr">
        <is>
          <t>224x224x3</t>
        </is>
      </c>
      <c r="D14" s="19" t="n">
        <v>1</v>
      </c>
      <c r="E14" s="19" t="n">
        <v>2</v>
      </c>
      <c r="F14" s="19" t="n">
        <v>3</v>
      </c>
      <c r="G14" s="19" t="n">
        <v>77.5</v>
      </c>
      <c r="H14" s="19" t="n">
        <v>93.59999999999999</v>
      </c>
      <c r="I14" s="19" t="n">
        <v>4.9</v>
      </c>
      <c r="J14" s="13">
        <f>Img_Class_outs!E6-F14</f>
        <v/>
      </c>
      <c r="K14" s="13">
        <f>J14/F14 * 100</f>
        <v/>
      </c>
    </row>
  </sheetData>
  <autoFilter ref="K2:K14"/>
  <conditionalFormatting sqref="K2:K14">
    <cfRule type="colorScale" priority="2">
      <colorScale>
        <cfvo type="min" val="0"/>
        <cfvo type="percentile" val="50"/>
        <cfvo type="max" val="0"/>
        <color rgb="FF00A933"/>
        <color rgb="FFFFFF00"/>
        <color rgb="FFFF0000"/>
      </colorScale>
    </cfRule>
  </conditionalFormatting>
  <hyperlinks>
    <hyperlink xmlns:r="http://schemas.openxmlformats.org/officeDocument/2006/relationships" ref="B2" display="1,000 objects&#10;ILSVRC2012" r:id="rId1"/>
    <hyperlink xmlns:r="http://schemas.openxmlformats.org/officeDocument/2006/relationships" ref="B3" display="1,000 objects&#10;ILSVRC2012" r:id="rId2"/>
    <hyperlink xmlns:r="http://schemas.openxmlformats.org/officeDocument/2006/relationships" ref="B4" display="1,000 objects&#10;ILSVRC2012" r:id="rId3"/>
    <hyperlink xmlns:r="http://schemas.openxmlformats.org/officeDocument/2006/relationships" ref="B5" display="1,000 objects&#10;ILSVRC2012" r:id="rId4"/>
    <hyperlink xmlns:r="http://schemas.openxmlformats.org/officeDocument/2006/relationships" ref="B6" display="1,000 objects&#10;ILSVRC2012" r:id="rId5"/>
    <hyperlink xmlns:r="http://schemas.openxmlformats.org/officeDocument/2006/relationships" ref="B7" display="1,000 objects&#10;ILSVRC2012" r:id="rId6"/>
    <hyperlink xmlns:r="http://schemas.openxmlformats.org/officeDocument/2006/relationships" ref="B8" display="1,000 objects&#10;ILSVRC2012" r:id="rId7"/>
    <hyperlink xmlns:r="http://schemas.openxmlformats.org/officeDocument/2006/relationships" ref="B9" display="1,000 objects&#10;ILSVRC2012" r:id="rId8"/>
    <hyperlink xmlns:r="http://schemas.openxmlformats.org/officeDocument/2006/relationships" ref="B10" display="1,000 objects&#10;ILSVRC2012" r:id="rId9"/>
    <hyperlink xmlns:r="http://schemas.openxmlformats.org/officeDocument/2006/relationships" ref="B11" display="1,000 objects&#10;ILSVRC2012" r:id="rId10"/>
    <hyperlink xmlns:r="http://schemas.openxmlformats.org/officeDocument/2006/relationships" ref="B12" display="1,000 objects&#10;ILSVRC2012" r:id="rId11"/>
    <hyperlink xmlns:r="http://schemas.openxmlformats.org/officeDocument/2006/relationships" ref="B13" display="1,000 objects&#10;ILSVRC2012" r:id="rId12"/>
    <hyperlink xmlns:r="http://schemas.openxmlformats.org/officeDocument/2006/relationships" ref="B14" display="1,000 objects&#10;ILSVRC2012" r:id="rId13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s="20" t="inlineStr">
        <is>
          <t>Model name</t>
        </is>
      </c>
      <c r="B1" s="20" t="inlineStr">
        <is>
          <t>Latency (ms)</t>
        </is>
      </c>
      <c r="C1" s="20" t="inlineStr">
        <is>
          <t>Top-1 Accuracy</t>
        </is>
      </c>
      <c r="D1" s="20" t="inlineStr">
        <is>
          <t>Top-5 Accuracy</t>
        </is>
      </c>
      <c r="E1" s="20" t="inlineStr">
        <is>
          <t>Measured Inference Time (ms)</t>
        </is>
      </c>
      <c r="F1" s="20" t="inlineStr">
        <is>
          <t>Parameter Count (M)</t>
        </is>
      </c>
    </row>
    <row r="2">
      <c r="A2" s="13" t="inlineStr">
        <is>
          <t>MobileNet V1 (0.25)</t>
        </is>
      </c>
      <c r="B2" s="13" t="n">
        <v>0.9</v>
      </c>
      <c r="C2" s="13" t="n">
        <v>40.8</v>
      </c>
      <c r="D2" s="13" t="n">
        <v>95.09999999999999</v>
      </c>
      <c r="E2" s="13" t="n">
        <v>4.273343636746742</v>
      </c>
      <c r="F2" s="13" t="n">
        <v>0.467595</v>
      </c>
    </row>
    <row r="3">
      <c r="A3" s="13" t="inlineStr">
        <is>
          <t>MobileNet V1 (0.50)</t>
        </is>
      </c>
      <c r="B3" s="13" t="n">
        <v>1.4</v>
      </c>
      <c r="C3" s="13" t="n">
        <v>63.7</v>
      </c>
      <c r="D3" s="13" t="n">
        <v>94.5</v>
      </c>
      <c r="E3" s="13" t="n">
        <v>5.741725413576729</v>
      </c>
      <c r="F3" s="13" t="n">
        <v>1.326635</v>
      </c>
    </row>
    <row r="4">
      <c r="A4" s="13" t="inlineStr">
        <is>
          <t>MobileNet V1 (1.0)</t>
        </is>
      </c>
      <c r="B4" s="13" t="n">
        <v>2.8</v>
      </c>
      <c r="C4" s="13" t="n">
        <v>69.5</v>
      </c>
      <c r="D4" s="13" t="n">
        <v>94.7</v>
      </c>
      <c r="E4" s="13" t="n">
        <v>6.408314722753338</v>
      </c>
      <c r="F4" s="13" t="n">
        <v>4.899478</v>
      </c>
    </row>
    <row r="5">
      <c r="A5" s="13" t="inlineStr">
        <is>
          <t>MobileNet V1 (.75)</t>
        </is>
      </c>
      <c r="B5" s="13" t="n">
        <v>1.8</v>
      </c>
      <c r="C5" s="13" t="n">
        <v>67.2</v>
      </c>
      <c r="D5" s="13" t="n">
        <v>92</v>
      </c>
      <c r="E5" s="13" t="n">
        <v>6.413245242038233</v>
      </c>
      <c r="F5" s="13" t="n">
        <v>2.578123</v>
      </c>
    </row>
    <row r="6">
      <c r="A6" s="13" t="inlineStr">
        <is>
          <t>MobileNet V2</t>
        </is>
      </c>
      <c r="B6" s="13" t="n">
        <v>2.9</v>
      </c>
      <c r="C6" s="13" t="n">
        <v>73.2</v>
      </c>
      <c r="D6" s="13" t="n">
        <v>93.2</v>
      </c>
      <c r="E6" s="13" t="n">
        <v>7.892005935786992</v>
      </c>
      <c r="F6" s="13" t="n">
        <v>3.489099</v>
      </c>
    </row>
    <row r="7">
      <c r="A7" s="13" t="inlineStr">
        <is>
          <t>MobileNet V2 (TF_ver_2.0)</t>
        </is>
      </c>
      <c r="B7" s="13" t="n">
        <v>3</v>
      </c>
      <c r="C7" s="13" t="n">
        <v>73.2</v>
      </c>
      <c r="D7" s="13" t="n">
        <v>67.2</v>
      </c>
      <c r="E7" s="13" t="n">
        <v>8.365876630525435</v>
      </c>
      <c r="F7" s="13" t="n">
        <v>3.489101</v>
      </c>
    </row>
    <row r="8">
      <c r="A8" s="13" t="inlineStr">
        <is>
          <t>MobileNet V1 (TF_ver_2.0)</t>
        </is>
      </c>
      <c r="B8" s="13" t="n">
        <v>2.8</v>
      </c>
      <c r="C8" s="13" t="n">
        <v>69.5</v>
      </c>
      <c r="D8" s="13" t="n">
        <v>83.40000000000001</v>
      </c>
      <c r="E8" s="13" t="n">
        <v>8.588968593350385</v>
      </c>
      <c r="F8" s="13" t="n">
        <v>4.222061</v>
      </c>
    </row>
    <row r="9">
      <c r="A9" s="13" t="inlineStr">
        <is>
          <t>MobileNet V3</t>
        </is>
      </c>
      <c r="B9" s="13" t="n">
        <v>3</v>
      </c>
      <c r="C9" s="13" t="n">
        <v>77.5</v>
      </c>
      <c r="D9" s="13" t="n">
        <v>88.09999999999999</v>
      </c>
      <c r="E9" s="13" t="n">
        <v>8.700641511226253</v>
      </c>
      <c r="F9" s="13" t="n">
        <v>4.073277</v>
      </c>
    </row>
    <row r="10">
      <c r="A10" s="13" t="inlineStr">
        <is>
          <t>EfficientNet-EdgeTpu (S)</t>
        </is>
      </c>
      <c r="B10" s="13" t="n">
        <v>5</v>
      </c>
      <c r="C10" s="13" t="n">
        <v>78.90000000000001</v>
      </c>
      <c r="D10" s="13" t="n">
        <v>90.59999999999999</v>
      </c>
      <c r="E10" s="13" t="n">
        <v>9.05769085895118</v>
      </c>
      <c r="F10" s="13" t="n">
        <v>5.413955</v>
      </c>
    </row>
    <row r="11">
      <c r="A11" s="13" t="inlineStr">
        <is>
          <t>Inception V1</t>
        </is>
      </c>
      <c r="B11" s="13" t="n">
        <v>3.4</v>
      </c>
      <c r="C11" s="13" t="n">
        <v>71.90000000000001</v>
      </c>
      <c r="D11" s="13" t="n">
        <v>89.8</v>
      </c>
      <c r="E11" s="13" t="n">
        <v>15.37397241960187</v>
      </c>
      <c r="F11" s="13" t="n">
        <v>6.618651</v>
      </c>
    </row>
    <row r="12">
      <c r="A12" s="13" t="inlineStr">
        <is>
          <t>EfficientNet-EdgeTpu (M)</t>
        </is>
      </c>
      <c r="B12" s="13" t="n">
        <v>7.3</v>
      </c>
      <c r="C12" s="13" t="n">
        <v>80.09999999999999</v>
      </c>
      <c r="D12" s="13" t="n">
        <v>90</v>
      </c>
      <c r="E12" s="13" t="n">
        <v>26.50050885333329</v>
      </c>
      <c r="F12" s="13" t="n">
        <v>6.866875</v>
      </c>
    </row>
    <row r="13">
      <c r="A13" s="13" t="inlineStr">
        <is>
          <t>EfficientNet-EdgeTpu (L)</t>
        </is>
      </c>
      <c r="B13" s="13" t="n">
        <v>21.3</v>
      </c>
      <c r="C13" s="13" t="n">
        <v>81.2</v>
      </c>
      <c r="D13" s="13" t="n">
        <v>91.8</v>
      </c>
      <c r="E13" s="13" t="n">
        <v>102.4790272164949</v>
      </c>
      <c r="F13" s="13" t="n">
        <v>10.545147</v>
      </c>
    </row>
    <row r="14">
      <c r="A14" s="13" t="inlineStr">
        <is>
          <t>Inception V3</t>
        </is>
      </c>
      <c r="B14" s="13" t="n">
        <v>13.4</v>
      </c>
      <c r="C14" s="13" t="n">
        <v>75.40000000000001</v>
      </c>
      <c r="D14" s="13" t="n">
        <v>93.59999999999999</v>
      </c>
      <c r="E14" s="13" t="n">
        <v>118.5258274698795</v>
      </c>
      <c r="F14" s="13" t="n">
        <v>11.179387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6"/>
  <sheetViews>
    <sheetView showFormulas="0" showGridLines="1" showRowColHeaders="1" showZeros="1" rightToLeft="0" tabSelected="0" showOutlineSymbols="1" defaultGridColor="1" view="normal" topLeftCell="A1" colorId="64" zoomScale="101" zoomScaleNormal="101" zoomScalePageLayoutView="100" workbookViewId="0">
      <selection pane="topLeft" activeCell="D6" activeCellId="0" sqref="D6"/>
    </sheetView>
  </sheetViews>
  <sheetFormatPr baseColWidth="8" defaultColWidth="8.59765625" defaultRowHeight="15" zeroHeight="0" outlineLevelRow="0"/>
  <cols>
    <col width="20.29" customWidth="1" style="13" min="1" max="1"/>
    <col width="16.57" customWidth="1" style="13" min="2" max="2"/>
    <col width="17" customWidth="1" style="13" min="3" max="3"/>
    <col width="13.3" customWidth="1" style="13" min="4" max="4"/>
    <col width="12.29" customWidth="1" style="13" min="5" max="5"/>
  </cols>
  <sheetData>
    <row r="1" ht="15" customHeight="1" s="14">
      <c r="A1" s="13" t="inlineStr">
        <is>
          <t>Model Name</t>
        </is>
      </c>
      <c r="D1" s="13" t="inlineStr">
        <is>
          <t>Latency (ms)</t>
        </is>
      </c>
      <c r="E1" s="13" t="inlineStr">
        <is>
          <t>mAP</t>
        </is>
      </c>
    </row>
    <row r="2" ht="29.25" customHeight="1" s="14">
      <c r="A2" s="17" t="inlineStr">
        <is>
          <t>SSD MobileNet V1</t>
        </is>
      </c>
      <c r="B2" s="18" t="inlineStr">
        <is>
          <t>90 objects
COCO</t>
        </is>
      </c>
      <c r="C2" s="19" t="inlineStr">
        <is>
          <t>300x300x3</t>
        </is>
      </c>
      <c r="D2" s="19" t="n">
        <v>6.5</v>
      </c>
      <c r="E2" s="19" t="n">
        <v>21.5</v>
      </c>
      <c r="F2" s="19" t="inlineStr">
        <is>
          <t>Yes</t>
        </is>
      </c>
      <c r="G2" s="19" t="inlineStr">
        <is>
          <t>7.0 MB</t>
        </is>
      </c>
    </row>
    <row r="3" ht="36" customHeight="1" s="14">
      <c r="A3" s="17" t="inlineStr">
        <is>
          <t>SSD MobileNet V2(TF1)</t>
        </is>
      </c>
      <c r="B3" s="18" t="inlineStr">
        <is>
          <t>90 objects
COCO</t>
        </is>
      </c>
      <c r="C3" s="19" t="inlineStr">
        <is>
          <t>300x300x3</t>
        </is>
      </c>
      <c r="D3" s="19" t="n">
        <v>7.3</v>
      </c>
      <c r="E3" s="19" t="n">
        <v>25.6</v>
      </c>
      <c r="F3" s="19" t="inlineStr">
        <is>
          <t>Yes</t>
        </is>
      </c>
      <c r="G3" s="19" t="inlineStr">
        <is>
          <t>6.6 MB</t>
        </is>
      </c>
    </row>
    <row r="4" ht="36" customHeight="1" s="14">
      <c r="A4" s="17" t="inlineStr">
        <is>
          <t>SSD MobileNet V2 (TF2)</t>
        </is>
      </c>
      <c r="B4" s="18" t="inlineStr">
        <is>
          <t>90 objects
COCO</t>
        </is>
      </c>
      <c r="C4" s="19" t="inlineStr">
        <is>
          <t>300x300x3</t>
        </is>
      </c>
      <c r="D4" s="19" t="n">
        <v>7.6</v>
      </c>
      <c r="E4" s="19" t="n">
        <v>22.4</v>
      </c>
      <c r="F4" s="19" t="inlineStr">
        <is>
          <t>Yes</t>
        </is>
      </c>
      <c r="G4" s="19" t="inlineStr">
        <is>
          <t>6.7 MB</t>
        </is>
      </c>
    </row>
    <row r="5" ht="17.25" customHeight="1" s="14">
      <c r="A5" s="17" t="inlineStr">
        <is>
          <t>SSD MobileNet V2</t>
        </is>
      </c>
      <c r="B5" s="17" t="inlineStr">
        <is>
          <t>Faces</t>
        </is>
      </c>
      <c r="C5" s="19" t="inlineStr">
        <is>
          <t>320x320x3</t>
        </is>
      </c>
      <c r="D5" s="19" t="n">
        <v>5.2</v>
      </c>
      <c r="E5" s="19" t="inlineStr">
        <is>
          <t>N/A</t>
        </is>
      </c>
      <c r="F5" s="19" t="inlineStr">
        <is>
          <t>Yes</t>
        </is>
      </c>
      <c r="G5" s="19" t="inlineStr">
        <is>
          <t>6.7 MB</t>
        </is>
      </c>
    </row>
    <row r="6" ht="29.25" customHeight="1" s="14">
      <c r="A6" s="17" t="inlineStr">
        <is>
          <t>SSDLite MobileDet</t>
        </is>
      </c>
      <c r="B6" s="18" t="inlineStr">
        <is>
          <t>90 objects
COCO</t>
        </is>
      </c>
      <c r="C6" s="19" t="inlineStr">
        <is>
          <t>320x320x3</t>
        </is>
      </c>
      <c r="D6" s="19" t="n">
        <v>9.1</v>
      </c>
      <c r="E6" s="19" t="n">
        <v>32.9</v>
      </c>
      <c r="F6" s="19" t="inlineStr">
        <is>
          <t>Yes</t>
        </is>
      </c>
      <c r="G6" s="19" t="inlineStr">
        <is>
          <t>5.1 MB</t>
        </is>
      </c>
    </row>
  </sheetData>
  <hyperlinks>
    <hyperlink xmlns:r="http://schemas.openxmlformats.org/officeDocument/2006/relationships" ref="B2" display="90 objects&#10;COCO" r:id="rId1"/>
    <hyperlink xmlns:r="http://schemas.openxmlformats.org/officeDocument/2006/relationships" ref="B3" display="90 objects&#10;COCO" r:id="rId2"/>
    <hyperlink xmlns:r="http://schemas.openxmlformats.org/officeDocument/2006/relationships" ref="B4" display="90 objects&#10;COCO" r:id="rId3"/>
    <hyperlink xmlns:r="http://schemas.openxmlformats.org/officeDocument/2006/relationships" ref="B6" display="90 objects&#10;COCO" r:id="rId4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4"/>
  <sheetViews>
    <sheetView showFormulas="0" showGridLines="1" showRowColHeaders="1" showZeros="1" rightToLeft="0" tabSelected="0" showOutlineSymbols="1" defaultGridColor="1" view="normal" topLeftCell="A1" colorId="64" zoomScale="101" zoomScaleNormal="101" zoomScalePageLayoutView="100" workbookViewId="0">
      <selection pane="topLeft" activeCell="A5" activeCellId="0" sqref="A5"/>
    </sheetView>
  </sheetViews>
  <sheetFormatPr baseColWidth="8" defaultColWidth="8.59765625" defaultRowHeight="15" zeroHeight="0" outlineLevelRow="0"/>
  <cols>
    <col width="29.3" customWidth="1" style="13" min="1" max="1"/>
    <col width="21.43" customWidth="1" style="13" min="2" max="2"/>
    <col width="16.86" customWidth="1" style="13" min="3" max="4"/>
    <col width="14.7" customWidth="1" style="13" min="8" max="8"/>
    <col width="12" customWidth="1" style="13" min="10" max="10"/>
  </cols>
  <sheetData>
    <row r="1" ht="15" customHeight="1" s="14">
      <c r="A1" s="13" t="inlineStr">
        <is>
          <t>Model Name</t>
        </is>
      </c>
      <c r="C1" s="13" t="inlineStr">
        <is>
          <t>Input Size</t>
        </is>
      </c>
      <c r="D1" s="13" t="inlineStr">
        <is>
          <t>Params (flatbuffers)</t>
        </is>
      </c>
      <c r="H1" s="13" t="inlineStr">
        <is>
          <t>Latency (ms)</t>
        </is>
      </c>
      <c r="J1" s="13" t="inlineStr">
        <is>
          <t>Model Size</t>
        </is>
      </c>
    </row>
    <row r="2" ht="29.25" customHeight="1" s="14">
      <c r="A2" s="17" t="inlineStr">
        <is>
          <t>U-Net MobileNet v2</t>
        </is>
      </c>
      <c r="B2" s="18" t="inlineStr">
        <is>
          <t>37 pets
Oxford-IIIT pets</t>
        </is>
      </c>
      <c r="C2" s="19" t="inlineStr">
        <is>
          <t>128x128x3</t>
        </is>
      </c>
      <c r="D2" s="19" t="n"/>
      <c r="E2" s="19" t="inlineStr">
        <is>
          <t>N/A</t>
        </is>
      </c>
      <c r="F2" s="19" t="inlineStr">
        <is>
          <t>N/A</t>
        </is>
      </c>
      <c r="G2" s="19" t="n">
        <v>1</v>
      </c>
      <c r="H2" s="19" t="n">
        <v>2.7</v>
      </c>
      <c r="I2" s="19" t="inlineStr">
        <is>
          <t>Yes</t>
        </is>
      </c>
      <c r="J2" s="19" t="inlineStr">
        <is>
          <t>7.2 MB</t>
        </is>
      </c>
    </row>
    <row r="3" ht="29.25" customHeight="1" s="14">
      <c r="A3" s="17" t="inlineStr">
        <is>
          <t>U-Net MobileNet v2</t>
        </is>
      </c>
      <c r="B3" s="18" t="inlineStr">
        <is>
          <t>37 pets
Oxford-IIIT pets</t>
        </is>
      </c>
      <c r="C3" s="19" t="inlineStr">
        <is>
          <t>256x256x3</t>
        </is>
      </c>
      <c r="D3" s="19" t="n"/>
      <c r="E3" s="19" t="inlineStr">
        <is>
          <t>N/A</t>
        </is>
      </c>
      <c r="F3" s="19" t="inlineStr">
        <is>
          <t>N/A</t>
        </is>
      </c>
      <c r="G3" s="19" t="n">
        <v>1</v>
      </c>
      <c r="H3" s="19" t="n">
        <v>29</v>
      </c>
      <c r="I3" s="19" t="inlineStr">
        <is>
          <t>Yes</t>
        </is>
      </c>
      <c r="J3" s="19" t="inlineStr">
        <is>
          <t>7.3 MB</t>
        </is>
      </c>
    </row>
    <row r="4" ht="17.25" customHeight="1" s="14">
      <c r="A4" s="21" t="inlineStr">
        <is>
          <t>MobileNet v1 BodyPix</t>
        </is>
      </c>
      <c r="B4" s="21" t="inlineStr">
        <is>
          <t>24 body parts</t>
        </is>
      </c>
      <c r="C4" s="22" t="inlineStr">
        <is>
          <t>324x324x3</t>
        </is>
      </c>
      <c r="D4" s="22" t="n"/>
      <c r="E4" s="22" t="n">
        <v>0.75</v>
      </c>
      <c r="F4" s="22" t="n">
        <v>16</v>
      </c>
      <c r="G4" s="22" t="n">
        <v>1</v>
      </c>
      <c r="H4" s="22" t="inlineStr">
        <is>
          <t>N/A</t>
        </is>
      </c>
      <c r="I4" s="22" t="inlineStr">
        <is>
          <t>Yes</t>
        </is>
      </c>
      <c r="J4" s="22" t="inlineStr">
        <is>
          <t>1.6 MB</t>
        </is>
      </c>
    </row>
  </sheetData>
  <hyperlinks>
    <hyperlink xmlns:r="http://schemas.openxmlformats.org/officeDocument/2006/relationships" ref="B2" display="37 pets&#10;Oxford-IIIT pets" r:id="rId1"/>
    <hyperlink xmlns:r="http://schemas.openxmlformats.org/officeDocument/2006/relationships" ref="B3" display="37 pets&#10;Oxford-IIIT pets" r:id="rId2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0"/>
  <sheetViews>
    <sheetView showFormulas="0" showGridLines="1" showRowColHeaders="1" showZeros="1" rightToLeft="0" tabSelected="0" showOutlineSymbols="1" defaultGridColor="1" view="normal" topLeftCell="A1" colorId="64" zoomScale="101" zoomScaleNormal="101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cols>
    <col width="29.3" customWidth="1" style="13" min="1" max="1"/>
    <col width="21.43" customWidth="1" style="13" min="2" max="2"/>
    <col width="16.86" customWidth="1" style="13" min="3" max="4"/>
    <col width="14.7" customWidth="1" style="13" min="8" max="8"/>
    <col width="12" customWidth="1" style="13" min="10" max="10"/>
  </cols>
  <sheetData>
    <row r="1" ht="15" customHeight="1" s="14">
      <c r="A1" s="13" t="inlineStr">
        <is>
          <t>Model Name</t>
        </is>
      </c>
      <c r="C1" s="13" t="inlineStr">
        <is>
          <t>Input Size</t>
        </is>
      </c>
      <c r="D1" s="13" t="inlineStr">
        <is>
          <t>Params (flatbuffers)</t>
        </is>
      </c>
      <c r="H1" s="13" t="inlineStr">
        <is>
          <t>Latency (ms)</t>
        </is>
      </c>
      <c r="J1" s="13" t="inlineStr">
        <is>
          <t>Model Size</t>
        </is>
      </c>
    </row>
    <row r="2" ht="29.25" customHeight="1" s="14">
      <c r="A2" s="17" t="inlineStr">
        <is>
          <t>U-Net MobileNet v2</t>
        </is>
      </c>
      <c r="B2" s="18" t="inlineStr">
        <is>
          <t>37 pets
Oxford-IIIT pets</t>
        </is>
      </c>
      <c r="C2" s="19" t="inlineStr">
        <is>
          <t>128x128x3</t>
        </is>
      </c>
      <c r="D2" s="19" t="n"/>
      <c r="E2" s="19" t="inlineStr">
        <is>
          <t>N/A</t>
        </is>
      </c>
      <c r="F2" s="19" t="inlineStr">
        <is>
          <t>N/A</t>
        </is>
      </c>
      <c r="G2" s="19" t="n">
        <v>1</v>
      </c>
      <c r="H2" s="19" t="n">
        <v>2.7</v>
      </c>
      <c r="I2" s="19" t="inlineStr">
        <is>
          <t>Yes</t>
        </is>
      </c>
      <c r="J2" s="19" t="inlineStr">
        <is>
          <t>7.2 MB</t>
        </is>
      </c>
    </row>
    <row r="3" ht="29.25" customHeight="1" s="14">
      <c r="A3" s="17" t="inlineStr">
        <is>
          <t>U-Net MobileNet v2</t>
        </is>
      </c>
      <c r="B3" s="18" t="inlineStr">
        <is>
          <t>37 pets
Oxford-IIIT pets</t>
        </is>
      </c>
      <c r="C3" s="19" t="inlineStr">
        <is>
          <t>256x256x3</t>
        </is>
      </c>
      <c r="D3" s="19" t="n"/>
      <c r="E3" s="19" t="inlineStr">
        <is>
          <t>N/A</t>
        </is>
      </c>
      <c r="F3" s="19" t="inlineStr">
        <is>
          <t>N/A</t>
        </is>
      </c>
      <c r="G3" s="19" t="n">
        <v>1</v>
      </c>
      <c r="H3" s="19" t="n">
        <v>29</v>
      </c>
      <c r="I3" s="19" t="inlineStr">
        <is>
          <t>Yes</t>
        </is>
      </c>
      <c r="J3" s="19" t="inlineStr">
        <is>
          <t>7.3 MB</t>
        </is>
      </c>
    </row>
    <row r="4" ht="17.25" customHeight="1" s="14">
      <c r="A4" s="21" t="inlineStr">
        <is>
          <t>MobileNet v1 BodyPix</t>
        </is>
      </c>
      <c r="B4" s="21" t="inlineStr">
        <is>
          <t>24 body parts</t>
        </is>
      </c>
      <c r="C4" s="22" t="inlineStr">
        <is>
          <t>324x324x3</t>
        </is>
      </c>
      <c r="D4" s="22" t="n"/>
      <c r="E4" s="22" t="n">
        <v>0.75</v>
      </c>
      <c r="F4" s="22" t="n">
        <v>16</v>
      </c>
      <c r="G4" s="22" t="n">
        <v>1</v>
      </c>
      <c r="H4" s="22" t="inlineStr">
        <is>
          <t>N/A</t>
        </is>
      </c>
      <c r="I4" s="22" t="inlineStr">
        <is>
          <t>Yes</t>
        </is>
      </c>
      <c r="J4" s="22" t="inlineStr">
        <is>
          <t>1.6 MB</t>
        </is>
      </c>
    </row>
    <row r="5" ht="17.25" customHeight="1" s="14">
      <c r="A5" s="17" t="inlineStr">
        <is>
          <t>MobileNet v1 BodyPix</t>
        </is>
      </c>
      <c r="B5" s="17" t="inlineStr">
        <is>
          <t>24 body parts</t>
        </is>
      </c>
      <c r="C5" s="19" t="inlineStr">
        <is>
          <t>352x480x3</t>
        </is>
      </c>
      <c r="D5" s="19" t="n"/>
      <c r="E5" s="19" t="n">
        <v>0.75</v>
      </c>
      <c r="F5" s="19" t="n">
        <v>16</v>
      </c>
      <c r="G5" s="19" t="n">
        <v>1</v>
      </c>
      <c r="H5" s="19" t="n">
        <v>6.9</v>
      </c>
      <c r="I5" s="19" t="inlineStr">
        <is>
          <t>Yes*</t>
        </is>
      </c>
      <c r="J5" s="19" t="inlineStr">
        <is>
          <t>1.6 MB</t>
        </is>
      </c>
    </row>
    <row r="6" ht="17.25" customHeight="1" s="14">
      <c r="A6" s="17" t="inlineStr">
        <is>
          <t>MobileNet v1 BodyPix</t>
        </is>
      </c>
      <c r="B6" s="17" t="inlineStr">
        <is>
          <t>24 body parts</t>
        </is>
      </c>
      <c r="C6" s="19" t="inlineStr">
        <is>
          <t>512x512x3</t>
        </is>
      </c>
      <c r="D6" s="19" t="n"/>
      <c r="E6" s="19" t="n">
        <v>0.75</v>
      </c>
      <c r="F6" s="19" t="n">
        <v>16</v>
      </c>
      <c r="G6" s="19" t="n">
        <v>1</v>
      </c>
      <c r="H6" s="19" t="n">
        <v>10.7</v>
      </c>
      <c r="I6" s="19" t="inlineStr">
        <is>
          <t>Yes*</t>
        </is>
      </c>
      <c r="J6" s="19" t="inlineStr">
        <is>
          <t>1.7 MB</t>
        </is>
      </c>
    </row>
    <row r="7" ht="17.25" customHeight="1" s="14">
      <c r="A7" s="17" t="inlineStr">
        <is>
          <t>MobileNet v1 BodyPix</t>
        </is>
      </c>
      <c r="B7" s="17" t="inlineStr">
        <is>
          <t>24 body parts</t>
        </is>
      </c>
      <c r="C7" s="19" t="inlineStr">
        <is>
          <t>480x640x3</t>
        </is>
      </c>
      <c r="D7" s="19" t="n"/>
      <c r="E7" s="19" t="n">
        <v>0.75</v>
      </c>
      <c r="F7" s="19" t="n">
        <v>16</v>
      </c>
      <c r="G7" s="19" t="n">
        <v>1</v>
      </c>
      <c r="H7" s="19" t="n">
        <v>12.3</v>
      </c>
      <c r="I7" s="19" t="inlineStr">
        <is>
          <t>Yes*</t>
        </is>
      </c>
      <c r="J7" s="19" t="inlineStr">
        <is>
          <t>1.8 MB</t>
        </is>
      </c>
    </row>
    <row r="8" ht="17.25" customHeight="1" s="14">
      <c r="A8" s="17" t="inlineStr">
        <is>
          <t>MobileNet v1 BodyPix</t>
        </is>
      </c>
      <c r="B8" s="17" t="inlineStr">
        <is>
          <t>24 body parts</t>
        </is>
      </c>
      <c r="C8" s="19" t="inlineStr">
        <is>
          <t>576x768x3</t>
        </is>
      </c>
      <c r="D8" s="19" t="n"/>
      <c r="E8" s="19" t="n">
        <v>0.75</v>
      </c>
      <c r="F8" s="19" t="n">
        <v>16</v>
      </c>
      <c r="G8" s="19" t="n">
        <v>1</v>
      </c>
      <c r="H8" s="19" t="n">
        <v>17.7</v>
      </c>
      <c r="I8" s="19" t="inlineStr">
        <is>
          <t>Yes*</t>
        </is>
      </c>
      <c r="J8" s="19" t="inlineStr">
        <is>
          <t>1.8 MB</t>
        </is>
      </c>
    </row>
    <row r="9" ht="17.25" customHeight="1" s="14">
      <c r="A9" s="17" t="inlineStr">
        <is>
          <t>MobileNet v1 BodyPix</t>
        </is>
      </c>
      <c r="B9" s="17" t="inlineStr">
        <is>
          <t>24 body parts</t>
        </is>
      </c>
      <c r="C9" s="19" t="inlineStr">
        <is>
          <t>768x1024x3</t>
        </is>
      </c>
      <c r="D9" s="19" t="n"/>
      <c r="E9" s="19" t="n">
        <v>0.75</v>
      </c>
      <c r="F9" s="19" t="n">
        <v>16</v>
      </c>
      <c r="G9" s="19" t="n">
        <v>1</v>
      </c>
      <c r="H9" s="19" t="n">
        <v>30.8</v>
      </c>
      <c r="I9" s="19" t="inlineStr">
        <is>
          <t>Yes*</t>
        </is>
      </c>
      <c r="J9" s="19" t="inlineStr">
        <is>
          <t>2.0 MB</t>
        </is>
      </c>
    </row>
    <row r="10" ht="17.25" customHeight="1" s="14">
      <c r="A10" s="17" t="inlineStr">
        <is>
          <t>MobileNet v1 BodyPix</t>
        </is>
      </c>
      <c r="B10" s="17" t="inlineStr">
        <is>
          <t>24 body parts</t>
        </is>
      </c>
      <c r="C10" s="19" t="inlineStr">
        <is>
          <t>720x1280x3</t>
        </is>
      </c>
      <c r="D10" s="19" t="n"/>
      <c r="E10" s="19" t="n">
        <v>0.75</v>
      </c>
      <c r="F10" s="19" t="n">
        <v>16</v>
      </c>
      <c r="G10" s="19" t="n">
        <v>1</v>
      </c>
      <c r="H10" s="19" t="n">
        <v>38.8</v>
      </c>
      <c r="I10" s="19" t="inlineStr">
        <is>
          <t>Yes*</t>
        </is>
      </c>
      <c r="J10" s="19" t="inlineStr">
        <is>
          <t>2.3 MB</t>
        </is>
      </c>
    </row>
  </sheetData>
  <hyperlinks>
    <hyperlink xmlns:r="http://schemas.openxmlformats.org/officeDocument/2006/relationships" ref="B2" display="37 pets&#10;Oxford-IIIT pets" r:id="rId1"/>
    <hyperlink xmlns:r="http://schemas.openxmlformats.org/officeDocument/2006/relationships" ref="B3" display="37 pets&#10;Oxford-IIIT pets" r:id="rId2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4"/>
  <sheetViews>
    <sheetView showFormulas="0" showGridLines="1" showRowColHeaders="1" showZeros="1" rightToLeft="0" tabSelected="0" showOutlineSymbols="1" defaultGridColor="1" view="normal" topLeftCell="A1" colorId="64" zoomScale="101" zoomScaleNormal="101" zoomScalePageLayoutView="100" workbookViewId="0">
      <selection pane="topLeft" activeCell="A2" activeCellId="0" sqref="A2"/>
    </sheetView>
  </sheetViews>
  <sheetFormatPr baseColWidth="8" defaultColWidth="8.59765625" defaultRowHeight="15" zeroHeight="0" outlineLevelRow="0"/>
  <cols>
    <col width="21.3" customWidth="1" style="13" min="1" max="1"/>
    <col width="16.57" customWidth="1" style="13" min="2" max="3"/>
    <col width="17.57" customWidth="1" style="13" min="6" max="6"/>
  </cols>
  <sheetData>
    <row r="1" ht="70.5" customHeight="1" s="14">
      <c r="A1" s="15" t="inlineStr">
        <is>
          <t>Model name</t>
        </is>
      </c>
      <c r="B1" s="15" t="inlineStr">
        <is>
          <t>Detections/Dataset</t>
        </is>
      </c>
      <c r="C1" s="15" t="inlineStr">
        <is>
          <t>Input size</t>
        </is>
      </c>
      <c r="D1" s="15" t="inlineStr">
        <is>
          <t>Micro 1</t>
        </is>
      </c>
      <c r="E1" s="15" t="inlineStr">
        <is>
          <t>Model size</t>
        </is>
      </c>
      <c r="F1" s="15" t="inlineStr">
        <is>
          <t>Downloads</t>
        </is>
      </c>
    </row>
    <row r="2" ht="70.5" customHeight="1" s="14">
      <c r="A2" s="17" t="inlineStr">
        <is>
          <t>YamNet without frontend</t>
        </is>
      </c>
      <c r="B2" s="17" t="inlineStr">
        <is>
          <t>520+ sounds</t>
        </is>
      </c>
      <c r="C2" s="19" t="inlineStr">
        <is>
          <t>96x64x1 (spectrogram)</t>
        </is>
      </c>
      <c r="D2" s="19" t="inlineStr">
        <is>
          <t>Yes</t>
        </is>
      </c>
      <c r="E2" s="19" t="inlineStr">
        <is>
          <t>4.1 MB</t>
        </is>
      </c>
      <c r="F2" s="23" t="inlineStr">
        <is>
          <t>Edge TPU model,</t>
        </is>
      </c>
    </row>
    <row r="3" ht="70.5" customHeight="1" s="14">
      <c r="A3" s="17" t="inlineStr">
        <is>
          <t>Keyword Spotter v0.7</t>
        </is>
      </c>
      <c r="B3" s="17" t="inlineStr">
        <is>
          <t>140+ speech phrases</t>
        </is>
      </c>
      <c r="C3" s="19" t="inlineStr">
        <is>
          <t>198x32x1 (spectrogram)</t>
        </is>
      </c>
      <c r="D3" s="19" t="inlineStr">
        <is>
          <t>Yes</t>
        </is>
      </c>
      <c r="E3" s="19" t="inlineStr">
        <is>
          <t>578 KB</t>
        </is>
      </c>
      <c r="F3" s="23" t="inlineStr">
        <is>
          <t>Edge TPU model,</t>
        </is>
      </c>
    </row>
    <row r="4" ht="70.5" customHeight="1" s="14">
      <c r="A4" s="17" t="inlineStr">
        <is>
          <t>Keyword Spotter v0.8</t>
        </is>
      </c>
      <c r="B4" s="17" t="inlineStr">
        <is>
          <t>140+ speech phrases</t>
        </is>
      </c>
      <c r="C4" s="19" t="inlineStr">
        <is>
          <t>198x32x1 (spectrogram)</t>
        </is>
      </c>
      <c r="D4" s="19" t="inlineStr">
        <is>
          <t>Yes</t>
        </is>
      </c>
      <c r="E4" s="19" t="inlineStr">
        <is>
          <t>578 KB</t>
        </is>
      </c>
      <c r="F4" s="23" t="inlineStr">
        <is>
          <t>Edge TPU model,</t>
        </is>
      </c>
    </row>
  </sheetData>
  <hyperlinks>
    <hyperlink xmlns:r="http://schemas.openxmlformats.org/officeDocument/2006/relationships" ref="F2" display="Edge TPU model," r:id="rId1"/>
    <hyperlink xmlns:r="http://schemas.openxmlformats.org/officeDocument/2006/relationships" ref="F3" display="Edge TPU model," r:id="rId2"/>
    <hyperlink xmlns:r="http://schemas.openxmlformats.org/officeDocument/2006/relationships" ref="F4" display="Edge TPU model," r:id="rId3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5"/>
  <sheetViews>
    <sheetView showFormulas="0" showGridLines="1" showRowColHeaders="1" showZeros="1" rightToLeft="0" tabSelected="0" showOutlineSymbols="1" defaultGridColor="1" view="normal" topLeftCell="A1" colorId="64" zoomScale="101" zoomScaleNormal="101" zoomScalePageLayoutView="100" workbookViewId="0">
      <selection pane="topLeft" activeCell="D14" activeCellId="0" sqref="D14"/>
    </sheetView>
  </sheetViews>
  <sheetFormatPr baseColWidth="8" defaultColWidth="8.59765625" defaultRowHeight="15" zeroHeight="0" outlineLevelRow="0"/>
  <cols>
    <col width="23.15" customWidth="1" style="13" min="1" max="1"/>
    <col width="16.43" customWidth="1" style="13" min="2" max="2"/>
    <col width="17.14" customWidth="1" style="13" min="3" max="3"/>
    <col width="14.43" customWidth="1" style="13" min="4" max="4"/>
    <col width="13.43" customWidth="1" style="13" min="5" max="5"/>
    <col width="18.43" customWidth="1" style="13" min="6" max="6"/>
    <col width="13.3" customWidth="1" style="13" min="8" max="8"/>
  </cols>
  <sheetData>
    <row r="1" ht="36" customHeight="1" s="14">
      <c r="A1" s="15" t="inlineStr">
        <is>
          <t>Model name</t>
        </is>
      </c>
      <c r="B1" s="15" t="inlineStr">
        <is>
          <t>Detections/Dataset</t>
        </is>
      </c>
      <c r="C1" s="15" t="inlineStr">
        <is>
          <t>Input size</t>
        </is>
      </c>
      <c r="D1" s="15" t="inlineStr">
        <is>
          <t>Output stride</t>
        </is>
      </c>
      <c r="E1" s="15" t="inlineStr">
        <is>
          <t>TF ver.</t>
        </is>
      </c>
      <c r="F1" s="16" t="inlineStr">
        <is>
          <t>Latency (ms) 1</t>
        </is>
      </c>
      <c r="G1" s="15" t="inlineStr">
        <is>
          <t>Micro 2</t>
        </is>
      </c>
      <c r="H1" s="15" t="inlineStr">
        <is>
          <t>Model size</t>
        </is>
      </c>
    </row>
    <row r="2" ht="36" customHeight="1" s="14">
      <c r="A2" s="21" t="inlineStr">
        <is>
          <t>PoseNet MobileNet V1</t>
        </is>
      </c>
      <c r="B2" s="21" t="inlineStr">
        <is>
          <t>17 body points</t>
        </is>
      </c>
      <c r="C2" s="22" t="inlineStr">
        <is>
          <t>324x324x3</t>
        </is>
      </c>
      <c r="D2" s="22" t="n">
        <v>16</v>
      </c>
      <c r="E2" s="22" t="n">
        <v>1</v>
      </c>
      <c r="F2" s="22" t="inlineStr">
        <is>
          <t>N/A</t>
        </is>
      </c>
      <c r="G2" s="22" t="inlineStr">
        <is>
          <t>Yes</t>
        </is>
      </c>
      <c r="H2" s="22" t="inlineStr">
        <is>
          <t>1.6 MB</t>
        </is>
      </c>
    </row>
    <row r="3" ht="36" customHeight="1" s="14">
      <c r="A3" s="17" t="inlineStr">
        <is>
          <t>PoseNet MobileNet V1</t>
        </is>
      </c>
      <c r="B3" s="17" t="inlineStr">
        <is>
          <t>17 body points</t>
        </is>
      </c>
      <c r="C3" s="19" t="inlineStr">
        <is>
          <t>353x481x3</t>
        </is>
      </c>
      <c r="D3" s="19" t="n">
        <v>16</v>
      </c>
      <c r="E3" s="19" t="n">
        <v>1</v>
      </c>
      <c r="F3" s="19" t="n">
        <v>5.8</v>
      </c>
      <c r="G3" s="19" t="inlineStr">
        <is>
          <t>Yes*</t>
        </is>
      </c>
      <c r="H3" s="19" t="inlineStr">
        <is>
          <t>1.5 MB</t>
        </is>
      </c>
    </row>
    <row r="4" ht="36" customHeight="1" s="14">
      <c r="A4" s="17" t="inlineStr">
        <is>
          <t>PoseNet MobileNet V1</t>
        </is>
      </c>
      <c r="B4" s="17" t="inlineStr">
        <is>
          <t>17 body points</t>
        </is>
      </c>
      <c r="C4" s="19" t="inlineStr">
        <is>
          <t>481x641x3</t>
        </is>
      </c>
      <c r="D4" s="19" t="n">
        <v>16</v>
      </c>
      <c r="E4" s="19" t="n">
        <v>1</v>
      </c>
      <c r="F4" s="19" t="n">
        <v>10.3</v>
      </c>
      <c r="G4" s="19" t="inlineStr">
        <is>
          <t>Yes*</t>
        </is>
      </c>
      <c r="H4" s="19" t="inlineStr">
        <is>
          <t>1.7 MB</t>
        </is>
      </c>
    </row>
    <row r="5" ht="36" customHeight="1" s="14">
      <c r="A5" s="17" t="inlineStr">
        <is>
          <t>PoseNet MobileNet V1</t>
        </is>
      </c>
      <c r="B5" s="17" t="inlineStr">
        <is>
          <t>17 body points</t>
        </is>
      </c>
      <c r="C5" s="19" t="inlineStr">
        <is>
          <t>721x1281x3</t>
        </is>
      </c>
      <c r="D5" s="19" t="n">
        <v>16</v>
      </c>
      <c r="E5" s="19" t="n">
        <v>1</v>
      </c>
      <c r="F5" s="19" t="n">
        <v>32.4</v>
      </c>
      <c r="G5" s="19" t="inlineStr">
        <is>
          <t>Yes*</t>
        </is>
      </c>
      <c r="H5" s="19" t="inlineStr">
        <is>
          <t>2.5 MB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20" t="inlineStr">
        <is>
          <t>Model Name</t>
        </is>
      </c>
      <c r="B1" s="20" t="inlineStr">
        <is>
          <t>Latency (ms)</t>
        </is>
      </c>
      <c r="C1" s="20" t="inlineStr">
        <is>
          <t>Measured Inference Time (ms)</t>
        </is>
      </c>
      <c r="D1" s="20" t="inlineStr">
        <is>
          <t>mAP</t>
        </is>
      </c>
      <c r="E1" s="20" t="inlineStr">
        <is>
          <t>Parameter Count (M)</t>
        </is>
      </c>
    </row>
    <row r="2">
      <c r="A2" t="inlineStr">
        <is>
          <t>SSD MobileNet V2 (TF2)</t>
        </is>
      </c>
      <c r="B2" t="n">
        <v>7.6</v>
      </c>
      <c r="C2" t="n">
        <v>17.35170945392494</v>
      </c>
      <c r="D2" t="n">
        <v>22.4</v>
      </c>
      <c r="E2" t="n">
        <v>6.055325</v>
      </c>
    </row>
    <row r="3">
      <c r="A3" t="inlineStr">
        <is>
          <t>SSD MobileNet V1</t>
        </is>
      </c>
      <c r="B3" t="n">
        <v>6.5</v>
      </c>
      <c r="C3" t="n">
        <v>36.54455787545788</v>
      </c>
      <c r="D3" t="n">
        <v>21.5</v>
      </c>
      <c r="E3" t="n">
        <v>4.129913</v>
      </c>
    </row>
    <row r="4">
      <c r="A4" t="inlineStr">
        <is>
          <t>SSD MobileNet V2(TF1)</t>
        </is>
      </c>
      <c r="B4" t="n">
        <v>7.3</v>
      </c>
      <c r="C4" t="n">
        <v>39.4892774015748</v>
      </c>
      <c r="D4" t="n">
        <v>25.6</v>
      </c>
      <c r="E4" t="n">
        <v>6.814845</v>
      </c>
    </row>
    <row r="5">
      <c r="A5" t="inlineStr">
        <is>
          <t>SSDLite MobileDet</t>
        </is>
      </c>
      <c r="B5" t="n">
        <v>9.1</v>
      </c>
      <c r="C5" t="n">
        <v>41.2180785185186</v>
      </c>
      <c r="D5" t="n">
        <v>32.9</v>
      </c>
      <c r="E5" t="n">
        <v>6.055325</v>
      </c>
    </row>
    <row r="6">
      <c r="A6" t="inlineStr">
        <is>
          <t>SSD MobileNet V2</t>
        </is>
      </c>
      <c r="B6" t="n">
        <v>5.2</v>
      </c>
      <c r="C6" t="n">
        <v>70.80963588652483</v>
      </c>
      <c r="D6" t="inlineStr"/>
      <c r="E6" t="n">
        <v>5.383744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2025-08-28T11:27:01Z</dcterms:created>
  <dcterms:modified xsi:type="dcterms:W3CDTF">2025-09-19T02:39:50Z</dcterms:modified>
  <cp:revision>3</cp:revision>
</cp:coreProperties>
</file>